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rik\Desktop\"/>
    </mc:Choice>
  </mc:AlternateContent>
  <xr:revisionPtr revIDLastSave="0" documentId="13_ncr:1_{9C4ED8B0-646C-4720-A92E-6C1CF077C87B}" xr6:coauthVersionLast="47" xr6:coauthVersionMax="47" xr10:uidLastSave="{00000000-0000-0000-0000-000000000000}"/>
  <bookViews>
    <workbookView xWindow="-110" yWindow="-110" windowWidth="19420" windowHeight="10080" firstSheet="1" activeTab="1" xr2:uid="{7EE64C42-B291-45B3-AAEE-D345681E30E0}"/>
  </bookViews>
  <sheets>
    <sheet name="Instructions" sheetId="13" r:id="rId1"/>
    <sheet name="Sample" sheetId="15" r:id="rId2"/>
    <sheet name="Day1" sheetId="14" r:id="rId3"/>
    <sheet name="Day2" sheetId="16" r:id="rId4"/>
    <sheet name="Day3" sheetId="17" r:id="rId5"/>
    <sheet name="Day4" sheetId="18" r:id="rId6"/>
    <sheet name="Day5" sheetId="19" r:id="rId7"/>
    <sheet name="Day6" sheetId="20" r:id="rId8"/>
    <sheet name="Day7" sheetId="21" r:id="rId9"/>
    <sheet name="Day8" sheetId="22" r:id="rId10"/>
    <sheet name="Day9" sheetId="23" r:id="rId11"/>
    <sheet name="Day10" sheetId="24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6" l="1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K7" i="15"/>
  <c r="H7" i="15"/>
  <c r="K1" i="15"/>
  <c r="H1" i="15"/>
  <c r="E2" i="24"/>
  <c r="E2" i="23"/>
  <c r="E2" i="22"/>
  <c r="E2" i="21"/>
  <c r="E2" i="20"/>
  <c r="E2" i="19"/>
  <c r="R3" i="19" s="1"/>
  <c r="E2" i="18"/>
  <c r="E2" i="17"/>
  <c r="R3" i="17" s="1"/>
  <c r="H1" i="17" s="1"/>
  <c r="E2" i="16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R3" i="15" s="1"/>
  <c r="E2" i="15"/>
  <c r="E2" i="14"/>
  <c r="R3" i="18" l="1"/>
  <c r="H1" i="18" s="1"/>
  <c r="R3" i="16"/>
  <c r="K7" i="16" s="1"/>
  <c r="R3" i="24"/>
  <c r="K7" i="24" s="1"/>
  <c r="R3" i="14"/>
  <c r="K7" i="14" s="1"/>
  <c r="K1" i="19"/>
  <c r="H1" i="19"/>
  <c r="K7" i="19"/>
  <c r="H7" i="19"/>
  <c r="R3" i="21"/>
  <c r="K1" i="17"/>
  <c r="I18" i="17" s="1"/>
  <c r="R3" i="20"/>
  <c r="K1" i="14"/>
  <c r="I18" i="14" s="1"/>
  <c r="H7" i="17"/>
  <c r="R3" i="23"/>
  <c r="R3" i="22"/>
  <c r="K7" i="17"/>
  <c r="Q10" i="15"/>
  <c r="Q8" i="15"/>
  <c r="H7" i="14" l="1"/>
  <c r="I17" i="14" s="1"/>
  <c r="H1" i="16"/>
  <c r="K1" i="16"/>
  <c r="I18" i="16" s="1"/>
  <c r="H7" i="16"/>
  <c r="I17" i="16" s="1"/>
  <c r="I17" i="17"/>
  <c r="H1" i="14"/>
  <c r="I16" i="14" s="1"/>
  <c r="K1" i="18"/>
  <c r="I16" i="18" s="1"/>
  <c r="H7" i="18"/>
  <c r="I17" i="18" s="1"/>
  <c r="K7" i="18"/>
  <c r="K1" i="24"/>
  <c r="I18" i="24" s="1"/>
  <c r="H1" i="24"/>
  <c r="H7" i="24"/>
  <c r="I17" i="24" s="1"/>
  <c r="I18" i="19"/>
  <c r="I17" i="19"/>
  <c r="K7" i="23"/>
  <c r="H7" i="23"/>
  <c r="K1" i="23"/>
  <c r="H1" i="23"/>
  <c r="K1" i="20"/>
  <c r="H1" i="20"/>
  <c r="K7" i="20"/>
  <c r="H7" i="20"/>
  <c r="H7" i="22"/>
  <c r="K1" i="22"/>
  <c r="H1" i="22"/>
  <c r="K7" i="22"/>
  <c r="H7" i="21"/>
  <c r="K1" i="21"/>
  <c r="H1" i="21"/>
  <c r="K7" i="21"/>
  <c r="I16" i="19"/>
  <c r="I19" i="19"/>
  <c r="I16" i="17"/>
  <c r="I19" i="17"/>
  <c r="I16" i="16"/>
  <c r="I19" i="16"/>
  <c r="Q11" i="15"/>
  <c r="Q7" i="15"/>
  <c r="I19" i="24" l="1"/>
  <c r="I19" i="14"/>
  <c r="I19" i="18"/>
  <c r="I18" i="18"/>
  <c r="I16" i="24"/>
  <c r="I16" i="21"/>
  <c r="I19" i="20"/>
  <c r="I19" i="22"/>
  <c r="I19" i="23"/>
  <c r="I18" i="20"/>
  <c r="I16" i="23"/>
  <c r="I16" i="20"/>
  <c r="I19" i="21"/>
  <c r="I18" i="22"/>
  <c r="I17" i="23"/>
  <c r="I17" i="20"/>
  <c r="I18" i="21"/>
  <c r="I16" i="22"/>
  <c r="I17" i="21"/>
  <c r="I18" i="23"/>
  <c r="I17" i="22"/>
</calcChain>
</file>

<file path=xl/sharedStrings.xml><?xml version="1.0" encoding="utf-8"?>
<sst xmlns="http://schemas.openxmlformats.org/spreadsheetml/2006/main" count="545" uniqueCount="55">
  <si>
    <t>Urgent?</t>
  </si>
  <si>
    <t>Task</t>
  </si>
  <si>
    <t>Important?</t>
  </si>
  <si>
    <t>5am-6am</t>
  </si>
  <si>
    <t>6am-7am</t>
  </si>
  <si>
    <t>7am-8am</t>
  </si>
  <si>
    <t>8am-9am</t>
  </si>
  <si>
    <t>9am-10am</t>
  </si>
  <si>
    <t>10am-11am</t>
  </si>
  <si>
    <t>11am-12pm</t>
  </si>
  <si>
    <t>12pm-1pm</t>
  </si>
  <si>
    <t>1pm-2pm</t>
  </si>
  <si>
    <t>2pm-3pm</t>
  </si>
  <si>
    <t>3pm-4pm</t>
  </si>
  <si>
    <t>4pm-5pm</t>
  </si>
  <si>
    <t>5pm-6pm</t>
  </si>
  <si>
    <t>6pm-7pm</t>
  </si>
  <si>
    <t>7pm-8pm</t>
  </si>
  <si>
    <t>8pm-9pm</t>
  </si>
  <si>
    <t>9pm-10pm</t>
  </si>
  <si>
    <t>10pm-11pm</t>
  </si>
  <si>
    <t>11pm-12am</t>
  </si>
  <si>
    <t>Yes</t>
  </si>
  <si>
    <t>No</t>
  </si>
  <si>
    <t>Important</t>
  </si>
  <si>
    <t>Classification</t>
  </si>
  <si>
    <t>4am-5am</t>
  </si>
  <si>
    <t>12am-1am</t>
  </si>
  <si>
    <t>1am-2am</t>
  </si>
  <si>
    <t>N</t>
  </si>
  <si>
    <t>Y</t>
  </si>
  <si>
    <t>Do I feel happy with how the day went?</t>
  </si>
  <si>
    <t>(Optional) Why do you feel this way?</t>
  </si>
  <si>
    <t>Because XYZ</t>
  </si>
  <si>
    <t>Time Slots</t>
  </si>
  <si>
    <t>The definition of urgent and important is yours - it is personal.</t>
  </si>
  <si>
    <t>As you fill up the day, the matrix on the right hand side will automatically fill up</t>
  </si>
  <si>
    <t>At the end of the day, write down if you felt happy with your day or not.</t>
  </si>
  <si>
    <t>Optionally, share why do you feel that way?</t>
  </si>
  <si>
    <t>The sample sheet will show you how it works</t>
  </si>
  <si>
    <t>Task 1</t>
  </si>
  <si>
    <t>Task 2</t>
  </si>
  <si>
    <t>task 3</t>
  </si>
  <si>
    <t>And then select Y or N from Urgent and Important</t>
  </si>
  <si>
    <t>The numbers on the right will change automatically</t>
  </si>
  <si>
    <t>At the end of 10 days, the aim is to build a hypothesis</t>
  </si>
  <si>
    <t>WHAT MIX OF URGENT AND IMPORTANT LEADS TO FAVORABLE OUTCOMES?</t>
  </si>
  <si>
    <t>Everyday, for 10 days, document every hour of your waking day.</t>
  </si>
  <si>
    <t>For every hour, write down the task you accomplished (the majority task, if you did multiple tasks) and classify them as urgent and important</t>
  </si>
  <si>
    <t>As a test, fill up any random task here</t>
  </si>
  <si>
    <t>Total hours recorded</t>
  </si>
  <si>
    <t>Tasks Distribution</t>
  </si>
  <si>
    <t>Urgent</t>
  </si>
  <si>
    <t>2am-3am</t>
  </si>
  <si>
    <t>3am-4am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</si>
</sst>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6" fontId="0" fillId="0" borderId="0" xfId="0" applyNumberFormat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6" fontId="0" fillId="2" borderId="13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4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3" fillId="3" borderId="1" xfId="0" applyFont="1" applyFill="1" applyBorder="1"/>
    <xf numFmtId="0" fontId="2" fillId="2" borderId="10" xfId="0" applyFont="1" applyFill="1" applyBorder="1"/>
    <xf numFmtId="0" fontId="4" fillId="2" borderId="10" xfId="0" applyFont="1" applyFill="1" applyBorder="1"/>
    <xf numFmtId="0" fontId="2" fillId="0" borderId="0" xfId="0" applyFont="1"/>
    <xf numFmtId="16" fontId="2" fillId="0" borderId="0" xfId="0" applyNumberFormat="1" applyFont="1"/>
    <xf numFmtId="0" fontId="2" fillId="0" borderId="16" xfId="0" applyFont="1" applyBorder="1"/>
    <xf numFmtId="0" fontId="0" fillId="0" borderId="16" xfId="0" applyBorder="1"/>
    <xf numFmtId="16" fontId="2" fillId="0" borderId="16" xfId="0" applyNumberFormat="1" applyFont="1" applyBorder="1" applyAlignment="1">
      <alignment horizontal="center"/>
    </xf>
    <xf numFmtId="16" fontId="0" fillId="0" borderId="16" xfId="0" applyNumberFormat="1" applyBorder="1" applyAlignment="1">
      <alignment horizontal="center"/>
    </xf>
    <xf numFmtId="16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4" borderId="16" xfId="0" applyFont="1" applyFill="1" applyBorder="1"/>
    <xf numFmtId="16" fontId="2" fillId="4" borderId="16" xfId="0" applyNumberFormat="1" applyFont="1" applyFill="1" applyBorder="1" applyAlignment="1">
      <alignment horizontal="center"/>
    </xf>
    <xf numFmtId="0" fontId="0" fillId="4" borderId="0" xfId="0" applyFill="1"/>
    <xf numFmtId="9" fontId="0" fillId="0" borderId="0" xfId="1" applyFont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9" fontId="5" fillId="2" borderId="2" xfId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5" fillId="2" borderId="4" xfId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6" xfId="1" applyFont="1" applyFill="1" applyBorder="1" applyAlignment="1">
      <alignment horizontal="center" vertical="center"/>
    </xf>
    <xf numFmtId="9" fontId="5" fillId="2" borderId="7" xfId="1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9" fontId="5" fillId="2" borderId="9" xfId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684A-0385-44F6-8435-91907B0E3476}">
  <sheetPr codeName="Sheet1"/>
  <dimension ref="A1:A12"/>
  <sheetViews>
    <sheetView workbookViewId="0">
      <selection activeCell="J16" sqref="J16"/>
    </sheetView>
  </sheetViews>
  <sheetFormatPr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  <row r="3" spans="1:1" x14ac:dyDescent="0.35">
      <c r="A3" t="s">
        <v>35</v>
      </c>
    </row>
    <row r="4" spans="1:1" x14ac:dyDescent="0.35">
      <c r="A4" t="s">
        <v>36</v>
      </c>
    </row>
    <row r="6" spans="1:1" x14ac:dyDescent="0.35">
      <c r="A6" t="s">
        <v>37</v>
      </c>
    </row>
    <row r="7" spans="1:1" x14ac:dyDescent="0.35">
      <c r="A7" t="s">
        <v>38</v>
      </c>
    </row>
    <row r="9" spans="1:1" x14ac:dyDescent="0.35">
      <c r="A9" t="s">
        <v>39</v>
      </c>
    </row>
    <row r="11" spans="1:1" x14ac:dyDescent="0.35">
      <c r="A11" t="s">
        <v>45</v>
      </c>
    </row>
    <row r="12" spans="1:1" x14ac:dyDescent="0.35">
      <c r="A12" s="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8423-7BCB-4ED6-9021-B81EE72E25D9}">
  <sheetPr codeName="Sheet2"/>
  <dimension ref="A1:R1000"/>
  <sheetViews>
    <sheetView tabSelected="1" workbookViewId="0">
      <selection activeCell="B13" sqref="B13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26" width="8.632812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0.33333333333333331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 t="s">
        <v>40</v>
      </c>
      <c r="C2" s="18" t="s">
        <v>30</v>
      </c>
      <c r="D2" s="18" t="s">
        <v>30</v>
      </c>
      <c r="E2" t="str">
        <f t="shared" ref="E2:E23" si="0">CONCATENATE(C2,D2)</f>
        <v>YY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 t="s">
        <v>41</v>
      </c>
      <c r="C3" s="18" t="s">
        <v>29</v>
      </c>
      <c r="D3" s="18" t="s">
        <v>30</v>
      </c>
      <c r="E3" t="str">
        <f t="shared" si="0"/>
        <v>NY</v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3</v>
      </c>
    </row>
    <row r="4" spans="1:18" ht="14.25" customHeight="1" x14ac:dyDescent="0.35">
      <c r="A4" s="16" t="s">
        <v>4</v>
      </c>
      <c r="B4" s="20" t="s">
        <v>42</v>
      </c>
      <c r="C4" s="18" t="s">
        <v>29</v>
      </c>
      <c r="D4" s="18" t="s">
        <v>30</v>
      </c>
      <c r="E4" t="str">
        <f t="shared" si="0"/>
        <v>NY</v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 t="s">
        <v>49</v>
      </c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  <c r="O5" t="s">
        <v>51</v>
      </c>
    </row>
    <row r="6" spans="1:18" ht="14.25" customHeight="1" thickBot="1" x14ac:dyDescent="0.4">
      <c r="A6" s="16" t="s">
        <v>6</v>
      </c>
      <c r="B6" s="20" t="s">
        <v>43</v>
      </c>
      <c r="C6" s="18"/>
      <c r="D6" s="18"/>
      <c r="E6" t="str">
        <f t="shared" si="0"/>
        <v/>
      </c>
      <c r="G6" s="45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 t="s">
        <v>44</v>
      </c>
      <c r="C7" s="18"/>
      <c r="D7" s="18"/>
      <c r="E7" t="str">
        <f t="shared" si="0"/>
        <v/>
      </c>
      <c r="G7" s="45"/>
      <c r="H7" s="36">
        <f>COUNTIF($E$2:$E$25,"NN")/R3</f>
        <v>0</v>
      </c>
      <c r="I7" s="37"/>
      <c r="J7" s="38"/>
      <c r="K7" s="36">
        <f>COUNTIF($E$2:$E$25,"NY")/R3</f>
        <v>0.66666666666666663</v>
      </c>
      <c r="L7" s="37"/>
      <c r="M7" s="38"/>
      <c r="O7" t="s">
        <v>52</v>
      </c>
      <c r="P7" t="s">
        <v>22</v>
      </c>
      <c r="Q7">
        <f>SUM(H1:M6)</f>
        <v>0.33333333333333331</v>
      </c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  <c r="P8" t="s">
        <v>23</v>
      </c>
      <c r="Q8">
        <f>SUM(H7:M12)</f>
        <v>0.66666666666666663</v>
      </c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  <c r="O10" t="s">
        <v>24</v>
      </c>
      <c r="P10" t="s">
        <v>22</v>
      </c>
      <c r="Q10">
        <f>SUM(K1:M12)</f>
        <v>1</v>
      </c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  <c r="P11" t="s">
        <v>23</v>
      </c>
      <c r="Q11">
        <f>SUM(H1:J12)</f>
        <v>0</v>
      </c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6" t="s">
        <v>24</v>
      </c>
      <c r="K13" s="46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thickBot="1" x14ac:dyDescent="0.4">
      <c r="A15" s="16" t="s">
        <v>15</v>
      </c>
      <c r="B15" s="20"/>
      <c r="C15" s="18"/>
      <c r="D15" s="18"/>
      <c r="E15" t="str">
        <f t="shared" si="0"/>
        <v/>
      </c>
    </row>
    <row r="16" spans="1:18" ht="14.25" customHeight="1" thickBot="1" x14ac:dyDescent="0.4">
      <c r="A16" s="16" t="s">
        <v>16</v>
      </c>
      <c r="B16" s="20"/>
      <c r="C16" s="18"/>
      <c r="D16" s="18"/>
      <c r="E16" t="str">
        <f t="shared" si="0"/>
        <v/>
      </c>
      <c r="G16" s="11" t="s">
        <v>31</v>
      </c>
      <c r="H16" s="3"/>
      <c r="I16" s="3"/>
      <c r="J16" s="4"/>
      <c r="K16" s="10"/>
    </row>
    <row r="17" spans="1:10" ht="14.25" customHeight="1" thickBot="1" x14ac:dyDescent="0.4">
      <c r="A17" s="16" t="s">
        <v>17</v>
      </c>
      <c r="B17" s="20"/>
      <c r="C17" s="18"/>
      <c r="D17" s="18"/>
      <c r="E17" t="str">
        <f t="shared" si="0"/>
        <v/>
      </c>
      <c r="G17" s="12" t="s">
        <v>32</v>
      </c>
      <c r="H17" s="3"/>
      <c r="I17" s="3"/>
      <c r="J17" s="4"/>
    </row>
    <row r="18" spans="1:10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s="27" t="s">
        <v>33</v>
      </c>
      <c r="H18" s="28"/>
      <c r="I18" s="28"/>
      <c r="J18" s="29"/>
    </row>
    <row r="19" spans="1:10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G19" s="30"/>
      <c r="H19" s="31"/>
      <c r="I19" s="31"/>
      <c r="J19" s="32"/>
    </row>
    <row r="20" spans="1:10" ht="14.25" customHeight="1" x14ac:dyDescent="0.35">
      <c r="A20" s="16" t="s">
        <v>20</v>
      </c>
      <c r="B20" s="20"/>
      <c r="C20" s="18"/>
      <c r="D20" s="18"/>
      <c r="E20" t="str">
        <f t="shared" si="0"/>
        <v/>
      </c>
      <c r="G20" s="30"/>
      <c r="H20" s="31"/>
      <c r="I20" s="31"/>
      <c r="J20" s="32"/>
    </row>
    <row r="21" spans="1:10" ht="14.25" customHeight="1" x14ac:dyDescent="0.35">
      <c r="A21" s="16" t="s">
        <v>21</v>
      </c>
      <c r="B21" s="20"/>
      <c r="C21" s="18"/>
      <c r="D21" s="18"/>
      <c r="E21" t="str">
        <f t="shared" si="0"/>
        <v/>
      </c>
      <c r="G21" s="30"/>
      <c r="H21" s="31"/>
      <c r="I21" s="31"/>
      <c r="J21" s="32"/>
    </row>
    <row r="22" spans="1:10" ht="14.25" customHeight="1" x14ac:dyDescent="0.35">
      <c r="A22" s="16" t="s">
        <v>27</v>
      </c>
      <c r="B22" s="20"/>
      <c r="C22" s="18"/>
      <c r="D22" s="18"/>
      <c r="E22" t="str">
        <f t="shared" si="0"/>
        <v/>
      </c>
      <c r="G22" s="30"/>
      <c r="H22" s="31"/>
      <c r="I22" s="31"/>
      <c r="J22" s="32"/>
    </row>
    <row r="23" spans="1:10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33"/>
      <c r="H23" s="34"/>
      <c r="I23" s="34"/>
      <c r="J23" s="35"/>
    </row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7">
    <mergeCell ref="G18:J23"/>
    <mergeCell ref="H1:J6"/>
    <mergeCell ref="K1:M6"/>
    <mergeCell ref="G6:G7"/>
    <mergeCell ref="H7:J12"/>
    <mergeCell ref="K7:M12"/>
    <mergeCell ref="J13:K13"/>
  </mergeCells>
  <dataValidations count="3">
    <dataValidation type="list" allowBlank="1" showInputMessage="1" showErrorMessage="1" sqref="C2:D7" xr:uid="{374B3E22-00DE-4405-BB8B-57FBFC7EC578}">
      <formula1>"N,Y"</formula1>
    </dataValidation>
    <dataValidation type="list" allowBlank="1" showErrorMessage="1" sqref="K16" xr:uid="{359AD8EF-444B-4605-B9B9-2F7068149DB0}">
      <formula1>"Yes,No"</formula1>
    </dataValidation>
    <dataValidation type="list" allowBlank="1" showErrorMessage="1" sqref="C8:D23" xr:uid="{172835ED-7000-4B8B-BB6A-3D9D18A9EFD0}">
      <formula1>"N,Y"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6C64-D894-4312-B828-4114B24E5574}">
  <sheetPr codeName="Sheet3"/>
  <dimension ref="A1:R1000"/>
  <sheetViews>
    <sheetView topLeftCell="A11"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disablePrompts="1" count="3">
    <dataValidation type="list" allowBlank="1" showErrorMessage="1" sqref="C8:D25" xr:uid="{93F5CF1E-6C10-4399-8E05-2D90190DA84F}">
      <formula1>"N,Y"</formula1>
    </dataValidation>
    <dataValidation type="list" allowBlank="1" showErrorMessage="1" sqref="K22" xr:uid="{6421A2C0-A40F-4861-B714-0CE0CB373D01}">
      <formula1>"Yes,No"</formula1>
    </dataValidation>
    <dataValidation type="list" allowBlank="1" showInputMessage="1" showErrorMessage="1" sqref="C2:D7" xr:uid="{7890E409-64E7-44F3-ABC5-E64FE2D056BA}">
      <formula1>"N,Y"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92F5-027A-4C7F-8477-3883C38FE756}">
  <sheetPr codeName="Sheet4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InputMessage="1" showErrorMessage="1" sqref="C2:D7" xr:uid="{5611C890-414C-4C9D-9084-1BEAB7C0F49B}">
      <formula1>"N,Y"</formula1>
    </dataValidation>
    <dataValidation type="list" allowBlank="1" showErrorMessage="1" sqref="K22" xr:uid="{1ECB9398-9D2C-4A0B-8F82-1067EBCF9EF0}">
      <formula1>"Yes,No"</formula1>
    </dataValidation>
    <dataValidation type="list" allowBlank="1" showErrorMessage="1" sqref="C8:D25" xr:uid="{4FDCC43B-D0D1-4F24-A4AF-2B8688AB2AF4}">
      <formula1>"N,Y"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81C-AE64-4A6E-8032-C7434EA9AAB6}">
  <sheetPr codeName="Sheet5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InputMessage="1" showErrorMessage="1" sqref="C2:D7" xr:uid="{6F09C403-D8DD-4D89-848C-E594BD9C29D1}">
      <formula1>"N,Y"</formula1>
    </dataValidation>
    <dataValidation type="list" allowBlank="1" showErrorMessage="1" sqref="K22" xr:uid="{957F7897-D531-47BE-A07D-284DCD5FD6B0}">
      <formula1>"Yes,No"</formula1>
    </dataValidation>
    <dataValidation type="list" allowBlank="1" showErrorMessage="1" sqref="C8:D25" xr:uid="{1A011801-1365-40B8-96B2-9380674D08A8}">
      <formula1>"N,Y"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1973-94FF-46A1-A49B-26332D3AE97B}">
  <sheetPr codeName="Sheet6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ErrorMessage="1" sqref="C8:D25" xr:uid="{26E989B3-D304-43B4-AA2E-E005C53CD802}">
      <formula1>"N,Y"</formula1>
    </dataValidation>
    <dataValidation type="list" allowBlank="1" showErrorMessage="1" sqref="K22" xr:uid="{4A2A3963-CFB9-4B06-A2B1-64CB9C32A027}">
      <formula1>"Yes,No"</formula1>
    </dataValidation>
    <dataValidation type="list" allowBlank="1" showInputMessage="1" showErrorMessage="1" sqref="C2:D7" xr:uid="{BC45FBDF-1274-43FE-B20B-0A0E7CCC915B}">
      <formula1>"N,Y"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AB2A-0B44-4A20-9AEA-DBA8326110AA}">
  <sheetPr codeName="Sheet7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InputMessage="1" showErrorMessage="1" sqref="C2:D7" xr:uid="{1C87F859-139C-456B-9587-23C88640AD0C}">
      <formula1>"N,Y"</formula1>
    </dataValidation>
    <dataValidation type="list" allowBlank="1" showErrorMessage="1" sqref="K22" xr:uid="{55886101-C861-4A47-884C-92FEDAE434C7}">
      <formula1>"Yes,No"</formula1>
    </dataValidation>
    <dataValidation type="list" allowBlank="1" showErrorMessage="1" sqref="C8:D25" xr:uid="{2199F4CA-24F0-492E-920C-27DEB363AD3A}">
      <formula1>"N,Y"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2604-63A9-4FEF-8181-E8557492F575}">
  <sheetPr codeName="Sheet8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InputMessage="1" showErrorMessage="1" sqref="C2:D7" xr:uid="{77B9A843-1F79-4002-9EE0-556E125A419C}">
      <formula1>"N,Y"</formula1>
    </dataValidation>
    <dataValidation type="list" allowBlank="1" showErrorMessage="1" sqref="K22" xr:uid="{A2E2EC0A-72B3-4D99-887B-52050621239D}">
      <formula1>"Yes,No"</formula1>
    </dataValidation>
    <dataValidation type="list" allowBlank="1" showErrorMessage="1" sqref="C8:D25" xr:uid="{67884443-61B5-4B0B-9D7F-9F7912070D7F}">
      <formula1>"N,Y"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6402-E918-4D81-9A44-F00F2F8E8E39}">
  <sheetPr codeName="Sheet9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ErrorMessage="1" sqref="C8:D25" xr:uid="{F390CFEC-2EE4-4874-8618-EDE2D2F9FD17}">
      <formula1>"N,Y"</formula1>
    </dataValidation>
    <dataValidation type="list" allowBlank="1" showErrorMessage="1" sqref="K22" xr:uid="{E533EF24-2923-461D-9B8B-5F0ED288BA19}">
      <formula1>"Yes,No"</formula1>
    </dataValidation>
    <dataValidation type="list" allowBlank="1" showInputMessage="1" showErrorMessage="1" sqref="C2:D7" xr:uid="{23AC4A8C-D420-4F64-96E6-2EF27C12CD4C}">
      <formula1>"N,Y"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0004-E07E-4CA2-A559-E739708851CF}">
  <sheetPr codeName="Sheet10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ErrorMessage="1" sqref="C8:D25" xr:uid="{7C9CD229-A00F-4AED-AA4A-E2C282C1D8F3}">
      <formula1>"N,Y"</formula1>
    </dataValidation>
    <dataValidation type="list" allowBlank="1" showErrorMessage="1" sqref="K22" xr:uid="{B015D48B-68CA-4EEF-BF19-1F3DF36FC808}">
      <formula1>"Yes,No"</formula1>
    </dataValidation>
    <dataValidation type="list" allowBlank="1" showInputMessage="1" showErrorMessage="1" sqref="C2:D7" xr:uid="{65ED1BB3-AF5A-49E4-A110-127CA6942DD8}">
      <formula1>"N,Y"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3E9B-D88B-448F-A315-D7735B9D38EE}">
  <sheetPr codeName="Sheet11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InputMessage="1" showErrorMessage="1" sqref="C2:D7" xr:uid="{F7CDF3AA-1748-4A45-9C53-50107A10C00E}">
      <formula1>"N,Y"</formula1>
    </dataValidation>
    <dataValidation type="list" allowBlank="1" showErrorMessage="1" sqref="K22" xr:uid="{489A5C54-5962-4F72-8DB8-3FAFF65BEDFB}">
      <formula1>"Yes,No"</formula1>
    </dataValidation>
    <dataValidation type="list" allowBlank="1" showErrorMessage="1" sqref="C8:D25" xr:uid="{839A2771-22D1-4D76-BDE3-6757B4730665}">
      <formula1>"N,Y"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5F58-5F72-410E-950E-BD4BDEB8B05A}">
  <sheetPr codeName="Sheet12"/>
  <dimension ref="A1:R1000"/>
  <sheetViews>
    <sheetView workbookViewId="0">
      <selection activeCell="D28" sqref="D28"/>
    </sheetView>
  </sheetViews>
  <sheetFormatPr defaultColWidth="14.453125" defaultRowHeight="14.5" x14ac:dyDescent="0.35"/>
  <cols>
    <col min="1" max="1" width="11.453125" customWidth="1"/>
    <col min="2" max="2" width="57.6328125" customWidth="1"/>
    <col min="3" max="4" width="12.08984375" customWidth="1"/>
    <col min="5" max="5" width="12.08984375" hidden="1" customWidth="1"/>
    <col min="6" max="6" width="8.6328125" customWidth="1"/>
    <col min="7" max="7" width="10" customWidth="1"/>
    <col min="8" max="26" width="8.6328125" customWidth="1"/>
  </cols>
  <sheetData>
    <row r="1" spans="1:18" ht="14.25" customHeight="1" x14ac:dyDescent="0.35">
      <c r="A1" s="23" t="s">
        <v>34</v>
      </c>
      <c r="B1" s="24" t="s">
        <v>1</v>
      </c>
      <c r="C1" s="24" t="s">
        <v>0</v>
      </c>
      <c r="D1" s="24" t="s">
        <v>2</v>
      </c>
      <c r="E1" s="14" t="s">
        <v>25</v>
      </c>
      <c r="F1" s="1"/>
      <c r="G1" s="5"/>
      <c r="H1" s="36">
        <f>COUNTIF($E$2:$E$25,"YN")/R3</f>
        <v>0</v>
      </c>
      <c r="I1" s="37"/>
      <c r="J1" s="38"/>
      <c r="K1" s="36">
        <f>COUNTIF($E$2:$E$25,"YY")/R3</f>
        <v>0</v>
      </c>
      <c r="L1" s="37"/>
      <c r="M1" s="3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39"/>
      <c r="I2" s="40"/>
      <c r="J2" s="41"/>
      <c r="K2" s="39"/>
      <c r="L2" s="40"/>
      <c r="M2" s="4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39"/>
      <c r="I3" s="40"/>
      <c r="J3" s="41"/>
      <c r="K3" s="39"/>
      <c r="L3" s="40"/>
      <c r="M3" s="41"/>
      <c r="O3" t="s">
        <v>50</v>
      </c>
      <c r="R3">
        <f>COUNTIF($E$2:$E$23,"YN")+COUNTIF($E$2:$E$23,"YY")+COUNTIF($E$2:$E$23,"NY")+COUNTIF($E$2:$E$23,"NN")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39"/>
      <c r="I4" s="40"/>
      <c r="J4" s="41"/>
      <c r="K4" s="39"/>
      <c r="L4" s="40"/>
      <c r="M4" s="4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39"/>
      <c r="I5" s="40"/>
      <c r="J5" s="41"/>
      <c r="K5" s="39"/>
      <c r="L5" s="40"/>
      <c r="M5" s="4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21" t="s">
        <v>0</v>
      </c>
      <c r="H6" s="42"/>
      <c r="I6" s="43"/>
      <c r="J6" s="44"/>
      <c r="K6" s="42"/>
      <c r="L6" s="43"/>
      <c r="M6" s="4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21"/>
      <c r="H7" s="36">
        <f>COUNTIF($E$2:$E$25,"NN")/R3</f>
        <v>0</v>
      </c>
      <c r="I7" s="37"/>
      <c r="J7" s="38"/>
      <c r="K7" s="36">
        <f>COUNTIF($E$2:$E$25,"NY")/R3</f>
        <v>1</v>
      </c>
      <c r="L7" s="37"/>
      <c r="M7" s="3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9"/>
      <c r="I8" s="40"/>
      <c r="J8" s="41"/>
      <c r="K8" s="39"/>
      <c r="L8" s="40"/>
      <c r="M8" s="4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9"/>
      <c r="I9" s="40"/>
      <c r="J9" s="41"/>
      <c r="K9" s="39"/>
      <c r="L9" s="40"/>
      <c r="M9" s="4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9"/>
      <c r="I10" s="40"/>
      <c r="J10" s="41"/>
      <c r="K10" s="39"/>
      <c r="L10" s="40"/>
      <c r="M10" s="4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9"/>
      <c r="I11" s="40"/>
      <c r="J11" s="41"/>
      <c r="K11" s="39"/>
      <c r="L11" s="40"/>
      <c r="M11" s="4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2"/>
      <c r="I12" s="43"/>
      <c r="J12" s="44"/>
      <c r="K12" s="42"/>
      <c r="L12" s="43"/>
      <c r="M12" s="4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22" t="s">
        <v>24</v>
      </c>
      <c r="K13" s="22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5" t="s">
        <v>51</v>
      </c>
      <c r="H15" s="25"/>
      <c r="I15" s="25"/>
      <c r="J15" s="25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6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6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6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6">
        <f>SUM(H1:J12)</f>
        <v>0</v>
      </c>
    </row>
    <row r="20" spans="1:11" ht="14.25" customHeight="1" x14ac:dyDescent="0.35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1" t="s">
        <v>31</v>
      </c>
      <c r="H22" s="3"/>
      <c r="I22" s="3"/>
      <c r="J22" s="4"/>
      <c r="K22" s="10"/>
    </row>
    <row r="23" spans="1:11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12" t="s">
        <v>32</v>
      </c>
      <c r="H23" s="3"/>
      <c r="I23" s="3"/>
      <c r="J23" s="4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7" t="s">
        <v>33</v>
      </c>
      <c r="H24" s="28"/>
      <c r="I24" s="28"/>
      <c r="J24" s="29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30"/>
      <c r="H25" s="31"/>
      <c r="I25" s="31"/>
      <c r="J25" s="32"/>
    </row>
    <row r="26" spans="1:11" ht="14.25" customHeight="1" x14ac:dyDescent="0.35">
      <c r="G26" s="30"/>
      <c r="H26" s="31"/>
      <c r="I26" s="31"/>
      <c r="J26" s="32"/>
    </row>
    <row r="27" spans="1:11" ht="14.25" customHeight="1" x14ac:dyDescent="0.35">
      <c r="G27" s="30"/>
      <c r="H27" s="31"/>
      <c r="I27" s="31"/>
      <c r="J27" s="32"/>
    </row>
    <row r="28" spans="1:11" ht="14.25" customHeight="1" x14ac:dyDescent="0.35">
      <c r="G28" s="30"/>
      <c r="H28" s="31"/>
      <c r="I28" s="31"/>
      <c r="J28" s="32"/>
    </row>
    <row r="29" spans="1:11" ht="14.25" customHeight="1" thickBot="1" x14ac:dyDescent="0.4">
      <c r="G29" s="33"/>
      <c r="H29" s="34"/>
      <c r="I29" s="34"/>
      <c r="J29" s="35"/>
    </row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G24:J29"/>
    <mergeCell ref="H1:J6"/>
    <mergeCell ref="K1:M6"/>
    <mergeCell ref="H7:J12"/>
    <mergeCell ref="K7:M12"/>
  </mergeCells>
  <dataValidations count="3">
    <dataValidation type="list" allowBlank="1" showErrorMessage="1" sqref="C8:D25" xr:uid="{5DB34815-FD91-4E05-A535-B850C5631CE1}">
      <formula1>"N,Y"</formula1>
    </dataValidation>
    <dataValidation type="list" allowBlank="1" showErrorMessage="1" sqref="K22" xr:uid="{D99229DA-592B-46C8-B5BB-A8C225E34258}">
      <formula1>"Yes,No"</formula1>
    </dataValidation>
    <dataValidation type="list" allowBlank="1" showInputMessage="1" showErrorMessage="1" sqref="C2:D7" xr:uid="{D6BDC2F6-9BE8-4E61-9844-D856319D6641}">
      <formula1>"N,Y"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Sample</vt:lpstr>
      <vt:lpstr>Day1</vt:lpstr>
      <vt:lpstr>Day2</vt:lpstr>
      <vt:lpstr>Day3</vt:lpstr>
      <vt:lpstr>Day4</vt:lpstr>
      <vt:lpstr>Day5</vt:lpstr>
      <vt:lpstr>Day6</vt:lpstr>
      <vt:lpstr>Day7</vt:lpstr>
      <vt:lpstr>Day8</vt:lpstr>
      <vt:lpstr>Day9</vt:lpstr>
      <vt:lpstr>Day10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Ankur warikoo</cp:lastModifiedBy>
  <dcterms:created xsi:type="dcterms:W3CDTF">2021-05-25T12:08:27Z</dcterms:created>
  <dcterms:modified xsi:type="dcterms:W3CDTF">2023-01-30T08:20:41Z</dcterms:modified>
</cp:coreProperties>
</file>